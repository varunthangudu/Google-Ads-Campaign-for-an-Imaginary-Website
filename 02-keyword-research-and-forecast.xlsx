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eyword Plan" sheetId="1" state="visible" r:id="rId3"/>
    <sheet name="Negative Keywords" sheetId="2" state="visible" r:id="rId4"/>
    <sheet name="Campaign Structure" sheetId="3" state="visible" r:id="rId5"/>
    <sheet name="Budget &amp; Forecas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<sst xmlns="http://schemas.openxmlformats.org/spreadsheetml/2006/main" count="386" uniqueCount="163">
  <si>
    <t xml:space="preserve">Ad group</t>
  </si>
  <si>
    <t xml:space="preserve">Keyword</t>
  </si>
  <si>
    <t xml:space="preserve">Match type</t>
  </si>
  <si>
    <t xml:space="preserve">Avg monthly searches</t>
  </si>
  <si>
    <t xml:space="preserve">Competition</t>
  </si>
  <si>
    <t xml:space="preserve">Top-of-page bid low (₹)</t>
  </si>
  <si>
    <t xml:space="preserve">Top-of-page bid high (₹)</t>
  </si>
  <si>
    <t xml:space="preserve">Starting max CPC (₹)</t>
  </si>
  <si>
    <t xml:space="preserve">Search intent</t>
  </si>
  <si>
    <t xml:space="preserve">Priority</t>
  </si>
  <si>
    <t xml:space="preserve">Bid position within top-of-page range</t>
  </si>
  <si>
    <t xml:space="preserve">AG1 — Full Home Deep Cleaning</t>
  </si>
  <si>
    <t xml:space="preserve">home deep cleaning bangalore</t>
  </si>
  <si>
    <t xml:space="preserve">Phrase</t>
  </si>
  <si>
    <t xml:space="preserve">High</t>
  </si>
  <si>
    <t xml:space="preserve">Transactional</t>
  </si>
  <si>
    <t xml:space="preserve">P1</t>
  </si>
  <si>
    <t xml:space="preserve">deep cleaning services bangalore</t>
  </si>
  <si>
    <t xml:space="preserve">0% = bid the low estimate, 100% = bid the high estimate.</t>
  </si>
  <si>
    <t xml:space="preserve">home cleaning services near me</t>
  </si>
  <si>
    <t xml:space="preserve">Volume and bid ranges are Google Keyword Planner estimates for the Bengaluru metro, collected during Week 1 planning. Treat them as directional, not booked performance.</t>
  </si>
  <si>
    <t xml:space="preserve">deep cleaning service near me</t>
  </si>
  <si>
    <t xml:space="preserve">house deep cleaning near me</t>
  </si>
  <si>
    <t xml:space="preserve">[home deep cleaning bangalore]</t>
  </si>
  <si>
    <t xml:space="preserve">Exact</t>
  </si>
  <si>
    <t xml:space="preserve">full home cleaning service bangalore</t>
  </si>
  <si>
    <t xml:space="preserve">P2</t>
  </si>
  <si>
    <t xml:space="preserve">professional house cleaning bangalore</t>
  </si>
  <si>
    <t xml:space="preserve">Medium</t>
  </si>
  <si>
    <t xml:space="preserve">2bhk deep cleaning cost bangalore</t>
  </si>
  <si>
    <t xml:space="preserve">Commercial research</t>
  </si>
  <si>
    <t xml:space="preserve">AG2 — Bathroom &amp; Kitchen</t>
  </si>
  <si>
    <t xml:space="preserve">bathroom deep cleaning near me</t>
  </si>
  <si>
    <t xml:space="preserve">bathroom cleaning service bangalore</t>
  </si>
  <si>
    <t xml:space="preserve">kitchen deep cleaning bangalore</t>
  </si>
  <si>
    <t xml:space="preserve">chimney cleaning service bangalore</t>
  </si>
  <si>
    <t xml:space="preserve">hard water stain removal bathroom tiles</t>
  </si>
  <si>
    <t xml:space="preserve">Low</t>
  </si>
  <si>
    <t xml:space="preserve">Informational</t>
  </si>
  <si>
    <t xml:space="preserve">P3</t>
  </si>
  <si>
    <t xml:space="preserve">kitchen chimney deep cleaning cost</t>
  </si>
  <si>
    <t xml:space="preserve">AG3 — Sofa &amp; Carpet</t>
  </si>
  <si>
    <t xml:space="preserve">sofa cleaning bangalore</t>
  </si>
  <si>
    <t xml:space="preserve">sofa shampooing near me</t>
  </si>
  <si>
    <t xml:space="preserve">carpet cleaning services bangalore</t>
  </si>
  <si>
    <t xml:space="preserve">[sofa cleaning bangalore]</t>
  </si>
  <si>
    <t xml:space="preserve">sofa dry cleaning cost</t>
  </si>
  <si>
    <t xml:space="preserve">mattress cleaning service bangalore</t>
  </si>
  <si>
    <t xml:space="preserve">AG4 — Move-in / Move-out</t>
  </si>
  <si>
    <t xml:space="preserve">flat cleaning service bangalore</t>
  </si>
  <si>
    <t xml:space="preserve">move out cleaning service bangalore</t>
  </si>
  <si>
    <t xml:space="preserve">move in cleaning bangalore</t>
  </si>
  <si>
    <t xml:space="preserve">rental deep cleaning bangalore</t>
  </si>
  <si>
    <t xml:space="preserve">house cleaning before moving in</t>
  </si>
  <si>
    <t xml:space="preserve">Total / weighted average</t>
  </si>
  <si>
    <t xml:space="preserve">Negative keyword</t>
  </si>
  <si>
    <t xml:space="preserve">Level</t>
  </si>
  <si>
    <t xml:space="preserve">Why it is blocked</t>
  </si>
  <si>
    <t xml:space="preserve">free</t>
  </si>
  <si>
    <t xml:space="preserve">Broad</t>
  </si>
  <si>
    <t xml:space="preserve">Campaign</t>
  </si>
  <si>
    <t xml:space="preserve">No budget, will not convert to a paid booking</t>
  </si>
  <si>
    <t xml:space="preserve">cheap</t>
  </si>
  <si>
    <t xml:space="preserve">Attracts price shoppers below our minimum ticket</t>
  </si>
  <si>
    <t xml:space="preserve">jobs</t>
  </si>
  <si>
    <t xml:space="preserve">Job seekers, not customers</t>
  </si>
  <si>
    <t xml:space="preserve">vacancy</t>
  </si>
  <si>
    <t xml:space="preserve">Job seekers</t>
  </si>
  <si>
    <t xml:space="preserve">salary</t>
  </si>
  <si>
    <t xml:space="preserve">part time</t>
  </si>
  <si>
    <t xml:space="preserve">hiring</t>
  </si>
  <si>
    <t xml:space="preserve">diy</t>
  </si>
  <si>
    <t xml:space="preserve">Wants to do it themselves</t>
  </si>
  <si>
    <t xml:space="preserve">how to</t>
  </si>
  <si>
    <t xml:space="preserve">Informational, no purchase intent</t>
  </si>
  <si>
    <t xml:space="preserve">tips</t>
  </si>
  <si>
    <t xml:space="preserve">course</t>
  </si>
  <si>
    <t xml:space="preserve">Training seekers</t>
  </si>
  <si>
    <t xml:space="preserve">training</t>
  </si>
  <si>
    <t xml:space="preserve">franchise</t>
  </si>
  <si>
    <t xml:space="preserve">Business enquiry, not a customer</t>
  </si>
  <si>
    <t xml:space="preserve">machine</t>
  </si>
  <si>
    <t xml:space="preserve">Wants to buy equipment</t>
  </si>
  <si>
    <t xml:space="preserve">buy</t>
  </si>
  <si>
    <t xml:space="preserve">Product purchase, not a service</t>
  </si>
  <si>
    <t xml:space="preserve">products</t>
  </si>
  <si>
    <t xml:space="preserve">Wants cleaning supplies</t>
  </si>
  <si>
    <t xml:space="preserve">liquid</t>
  </si>
  <si>
    <t xml:space="preserve">olx</t>
  </si>
  <si>
    <t xml:space="preserve">Classifieds traffic</t>
  </si>
  <si>
    <t xml:space="preserve">quikr</t>
  </si>
  <si>
    <t xml:space="preserve">maid</t>
  </si>
  <si>
    <t xml:space="preserve">Wants a live-in domestic helper, a different service</t>
  </si>
  <si>
    <t xml:space="preserve">servant</t>
  </si>
  <si>
    <t xml:space="preserve">Different service</t>
  </si>
  <si>
    <t xml:space="preserve">cook</t>
  </si>
  <si>
    <t xml:space="preserve">nanny</t>
  </si>
  <si>
    <t xml:space="preserve">office</t>
  </si>
  <si>
    <t xml:space="preserve">Commercial enquiry, outside our residential scope</t>
  </si>
  <si>
    <t xml:space="preserve">commercial</t>
  </si>
  <si>
    <t xml:space="preserve">Outside residential scope</t>
  </si>
  <si>
    <t xml:space="preserve">factory</t>
  </si>
  <si>
    <t xml:space="preserve">water tank</t>
  </si>
  <si>
    <t xml:space="preserve">Specialist service we do not offer</t>
  </si>
  <si>
    <t xml:space="preserve">pest control</t>
  </si>
  <si>
    <t xml:space="preserve">Service we do not offer</t>
  </si>
  <si>
    <t xml:space="preserve">car</t>
  </si>
  <si>
    <t xml:space="preserve">Vehicle cleaning, not offered</t>
  </si>
  <si>
    <t xml:space="preserve">mumbai</t>
  </si>
  <si>
    <t xml:space="preserve">Outside service area</t>
  </si>
  <si>
    <t xml:space="preserve">delhi</t>
  </si>
  <si>
    <t xml:space="preserve">hyderabad</t>
  </si>
  <si>
    <t xml:space="preserve">chennai</t>
  </si>
  <si>
    <t xml:space="preserve">urban company</t>
  </si>
  <si>
    <t xml:space="preserve">Competitor brand, low intent to switch at this stage</t>
  </si>
  <si>
    <t xml:space="preserve">nearby jobs</t>
  </si>
  <si>
    <t xml:space="preserve">cost calculator</t>
  </si>
  <si>
    <t xml:space="preserve">AG1</t>
  </si>
  <si>
    <t xml:space="preserve">Researching, redirected to blog instead of the lead form</t>
  </si>
  <si>
    <t xml:space="preserve">Type</t>
  </si>
  <si>
    <t xml:space="preserve">Keywords</t>
  </si>
  <si>
    <t xml:space="preserve">Landing page</t>
  </si>
  <si>
    <t xml:space="preserve">Bid strategy</t>
  </si>
  <si>
    <t xml:space="preserve">Daily budget (₹)</t>
  </si>
  <si>
    <t xml:space="preserve">BLR | Search | Home Cleaning</t>
  </si>
  <si>
    <t xml:space="preserve">Search</t>
  </si>
  <si>
    <t xml:space="preserve">/index.html#quote</t>
  </si>
  <si>
    <t xml:space="preserve">Maximise Conversions</t>
  </si>
  <si>
    <t xml:space="preserve">BLR | Display | Remarketing</t>
  </si>
  <si>
    <t xml:space="preserve">Display</t>
  </si>
  <si>
    <t xml:space="preserve">Site visitors, 30 days, no lead</t>
  </si>
  <si>
    <t xml:space="preserve">Maximise Clicks (capped)</t>
  </si>
  <si>
    <t xml:space="preserve">Total daily</t>
  </si>
  <si>
    <t xml:space="preserve">Total monthly</t>
  </si>
  <si>
    <t xml:space="preserve">SparkleNest — monthly performance forecast</t>
  </si>
  <si>
    <t xml:space="preserve">Every yellow cell is an assumption you can change; every other number is a formula. Benchmarks come from Google Keyword Planner bid ranges and published India home-services averages, not from a live campaign.</t>
  </si>
  <si>
    <t xml:space="preserve">Assumptions</t>
  </si>
  <si>
    <t xml:space="preserve">Total monthly budget (₹)</t>
  </si>
  <si>
    <t xml:space="preserve">Share allocated to Search</t>
  </si>
  <si>
    <t xml:space="preserve">Search — average CPC (₹)</t>
  </si>
  <si>
    <t xml:space="preserve">Search — expected CTR</t>
  </si>
  <si>
    <t xml:space="preserve">Search — landing page conversion rate</t>
  </si>
  <si>
    <t xml:space="preserve">Display — average CPC (₹)</t>
  </si>
  <si>
    <t xml:space="preserve">Display — expected CTR</t>
  </si>
  <si>
    <t xml:space="preserve">Display — landing page conversion rate</t>
  </si>
  <si>
    <t xml:space="preserve">Lead-to-job close rate</t>
  </si>
  <si>
    <t xml:space="preserve">Average order value (₹)</t>
  </si>
  <si>
    <t xml:space="preserve">Search campaign</t>
  </si>
  <si>
    <t xml:space="preserve">Budget (₹)</t>
  </si>
  <si>
    <t xml:space="preserve">Clicks</t>
  </si>
  <si>
    <t xml:space="preserve">Impressions</t>
  </si>
  <si>
    <t xml:space="preserve">Leads</t>
  </si>
  <si>
    <t xml:space="preserve">Cost per lead (₹)</t>
  </si>
  <si>
    <t xml:space="preserve">Display remarketing campaign</t>
  </si>
  <si>
    <t xml:space="preserve">Blended result</t>
  </si>
  <si>
    <t xml:space="preserve">Total leads</t>
  </si>
  <si>
    <t xml:space="preserve">Blended cost per lead (₹)</t>
  </si>
  <si>
    <t xml:space="preserve">Jobs booked</t>
  </si>
  <si>
    <t xml:space="preserve">Cost per booked job (₹)</t>
  </si>
  <si>
    <t xml:space="preserve">Revenue (₹)</t>
  </si>
  <si>
    <t xml:space="preserve">Return on ad spend</t>
  </si>
  <si>
    <t xml:space="preserve">Gross profit over ad spend (₹)</t>
  </si>
  <si>
    <t xml:space="preserve">Read this as a planning target, not a result. The campaign was built and reviewed in Google Ads but never served live traffic, so no billed spend, impressions or conversions exist. Actual CPC in a live auction will move with competitor bidding, Quality Score and seasonality.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</si>
</sst>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%"/>
    <numFmt numFmtId="167" formatCode="#,##0.00"/>
    <numFmt numFmtId="168" formatCode="\₹#,##0"/>
    <numFmt numFmtId="169" formatCode="\₹#,##0.00"/>
    <numFmt numFmtId="170" formatCode="0.0%"/>
    <numFmt numFmtId="171" formatCode="0.00%"/>
    <numFmt numFmtId="172" formatCode="0.0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C7378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2B33"/>
        <bgColor rgb="FF003300"/>
      </patternFill>
    </fill>
    <fill>
      <patternFill patternType="solid">
        <fgColor rgb="FFFFF3CC"/>
        <bgColor rgb="FFFFFFFF"/>
      </patternFill>
    </fill>
    <fill>
      <patternFill patternType="solid">
        <fgColor rgb="FFDDE9E9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FCF"/>
      </left>
      <right style="thin">
        <color rgb="FFBFCFCF"/>
      </right>
      <top style="thin">
        <color rgb="FFBFCFCF"/>
      </top>
      <bottom style="thin">
        <color rgb="FFBFCFC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FCF"/>
      <rgbColor rgb="FF808080"/>
      <rgbColor rgb="FF9999FF"/>
      <rgbColor rgb="FF993366"/>
      <rgbColor rgb="FFFFF3CC"/>
      <rgbColor rgb="FFDDE9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7378"/>
      <rgbColor rgb="FF969696"/>
      <rgbColor rgb="FF0B2B33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8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8" min="6" style="0" width="14"/>
    <col collapsed="false" customWidth="true" hidden="false" outlineLevel="0" max="9" min="9" style="0" width="19"/>
    <col collapsed="false" customWidth="true" hidden="false" outlineLevel="0" max="10" min="10" style="0" width="9"/>
    <col collapsed="false" customWidth="true" hidden="false" outlineLevel="0" max="12" min="12" style="0" width="22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2" t="s">
        <v>10</v>
      </c>
    </row>
    <row r="2" customFormat="false" ht="15" hidden="false" customHeight="false" outlineLevel="0" collapsed="false">
      <c r="A2" s="3" t="s">
        <v>11</v>
      </c>
      <c r="B2" s="3" t="s">
        <v>12</v>
      </c>
      <c r="C2" s="3" t="s">
        <v>13</v>
      </c>
      <c r="D2" s="4" t="n">
        <v>2400</v>
      </c>
      <c r="E2" s="3" t="s">
        <v>14</v>
      </c>
      <c r="F2" s="4" t="n">
        <v>18</v>
      </c>
      <c r="G2" s="4" t="n">
        <v>42</v>
      </c>
      <c r="H2" s="4" t="n">
        <f aca="false">ROUND(F2+(G2-F2)*$L$2,0)</f>
        <v>26</v>
      </c>
      <c r="I2" s="3" t="s">
        <v>15</v>
      </c>
      <c r="J2" s="3" t="s">
        <v>16</v>
      </c>
      <c r="L2" s="5" t="n">
        <v>0.35</v>
      </c>
    </row>
    <row r="3" customFormat="false" ht="15" hidden="false" customHeight="false" outlineLevel="0" collapsed="false">
      <c r="A3" s="3" t="s">
        <v>11</v>
      </c>
      <c r="B3" s="3" t="s">
        <v>17</v>
      </c>
      <c r="C3" s="3" t="s">
        <v>13</v>
      </c>
      <c r="D3" s="4" t="n">
        <v>1900</v>
      </c>
      <c r="E3" s="3" t="s">
        <v>14</v>
      </c>
      <c r="F3" s="4" t="n">
        <v>20</v>
      </c>
      <c r="G3" s="4" t="n">
        <v>45</v>
      </c>
      <c r="H3" s="4" t="n">
        <f aca="false">ROUND(F3+(G3-F3)*$L$2,0)</f>
        <v>29</v>
      </c>
      <c r="I3" s="3" t="s">
        <v>15</v>
      </c>
      <c r="J3" s="3" t="s">
        <v>16</v>
      </c>
      <c r="L3" s="6" t="s">
        <v>18</v>
      </c>
    </row>
    <row r="4" customFormat="false" ht="15" hidden="false" customHeight="true" outlineLevel="0" collapsed="false">
      <c r="A4" s="3" t="s">
        <v>11</v>
      </c>
      <c r="B4" s="3" t="s">
        <v>19</v>
      </c>
      <c r="C4" s="3" t="s">
        <v>13</v>
      </c>
      <c r="D4" s="4" t="n">
        <v>3600</v>
      </c>
      <c r="E4" s="3" t="s">
        <v>14</v>
      </c>
      <c r="F4" s="4" t="n">
        <v>15</v>
      </c>
      <c r="G4" s="4" t="n">
        <v>36</v>
      </c>
      <c r="H4" s="4" t="n">
        <f aca="false">ROUND(F4+(G4-F4)*$L$2,0)</f>
        <v>22</v>
      </c>
      <c r="I4" s="3" t="s">
        <v>15</v>
      </c>
      <c r="J4" s="3" t="s">
        <v>16</v>
      </c>
      <c r="L4" s="7" t="s">
        <v>20</v>
      </c>
      <c r="M4" s="7"/>
      <c r="N4" s="7"/>
      <c r="O4" s="7"/>
      <c r="P4" s="7"/>
    </row>
    <row r="5" customFormat="false" ht="15" hidden="false" customHeight="false" outlineLevel="0" collapsed="false">
      <c r="A5" s="3" t="s">
        <v>11</v>
      </c>
      <c r="B5" s="3" t="s">
        <v>21</v>
      </c>
      <c r="C5" s="3" t="s">
        <v>13</v>
      </c>
      <c r="D5" s="4" t="n">
        <v>2900</v>
      </c>
      <c r="E5" s="3" t="s">
        <v>14</v>
      </c>
      <c r="F5" s="4" t="n">
        <v>17</v>
      </c>
      <c r="G5" s="4" t="n">
        <v>40</v>
      </c>
      <c r="H5" s="4" t="n">
        <f aca="false">ROUND(F5+(G5-F5)*$L$2,0)</f>
        <v>25</v>
      </c>
      <c r="I5" s="3" t="s">
        <v>15</v>
      </c>
      <c r="J5" s="3" t="s">
        <v>16</v>
      </c>
      <c r="L5" s="7"/>
      <c r="M5" s="7"/>
      <c r="N5" s="7"/>
      <c r="O5" s="7"/>
      <c r="P5" s="7"/>
    </row>
    <row r="6" customFormat="false" ht="15" hidden="false" customHeight="false" outlineLevel="0" collapsed="false">
      <c r="A6" s="3" t="s">
        <v>11</v>
      </c>
      <c r="B6" s="3" t="s">
        <v>22</v>
      </c>
      <c r="C6" s="3" t="s">
        <v>13</v>
      </c>
      <c r="D6" s="4" t="n">
        <v>1600</v>
      </c>
      <c r="E6" s="3" t="s">
        <v>14</v>
      </c>
      <c r="F6" s="4" t="n">
        <v>16</v>
      </c>
      <c r="G6" s="4" t="n">
        <v>38</v>
      </c>
      <c r="H6" s="4" t="n">
        <f aca="false">ROUND(F6+(G6-F6)*$L$2,0)</f>
        <v>24</v>
      </c>
      <c r="I6" s="3" t="s">
        <v>15</v>
      </c>
      <c r="J6" s="3" t="s">
        <v>16</v>
      </c>
      <c r="L6" s="7"/>
      <c r="M6" s="7"/>
      <c r="N6" s="7"/>
      <c r="O6" s="7"/>
      <c r="P6" s="7"/>
    </row>
    <row r="7" customFormat="false" ht="15" hidden="false" customHeight="false" outlineLevel="0" collapsed="false">
      <c r="A7" s="3" t="s">
        <v>11</v>
      </c>
      <c r="B7" s="3" t="s">
        <v>23</v>
      </c>
      <c r="C7" s="3" t="s">
        <v>24</v>
      </c>
      <c r="D7" s="4" t="n">
        <v>2400</v>
      </c>
      <c r="E7" s="3" t="s">
        <v>14</v>
      </c>
      <c r="F7" s="4" t="n">
        <v>18</v>
      </c>
      <c r="G7" s="4" t="n">
        <v>42</v>
      </c>
      <c r="H7" s="4" t="n">
        <f aca="false">ROUND(F7+(G7-F7)*$L$2,0)</f>
        <v>26</v>
      </c>
      <c r="I7" s="3" t="s">
        <v>15</v>
      </c>
      <c r="J7" s="3" t="s">
        <v>16</v>
      </c>
      <c r="L7" s="7"/>
      <c r="M7" s="7"/>
      <c r="N7" s="7"/>
      <c r="O7" s="7"/>
      <c r="P7" s="7"/>
    </row>
    <row r="8" customFormat="false" ht="15" hidden="false" customHeight="false" outlineLevel="0" collapsed="false">
      <c r="A8" s="3" t="s">
        <v>11</v>
      </c>
      <c r="B8" s="3" t="s">
        <v>25</v>
      </c>
      <c r="C8" s="3" t="s">
        <v>13</v>
      </c>
      <c r="D8" s="4" t="n">
        <v>720</v>
      </c>
      <c r="E8" s="3" t="s">
        <v>14</v>
      </c>
      <c r="F8" s="4" t="n">
        <v>19</v>
      </c>
      <c r="G8" s="4" t="n">
        <v>40</v>
      </c>
      <c r="H8" s="4" t="n">
        <f aca="false">ROUND(F8+(G8-F8)*$L$2,0)</f>
        <v>26</v>
      </c>
      <c r="I8" s="3" t="s">
        <v>15</v>
      </c>
      <c r="J8" s="3" t="s">
        <v>26</v>
      </c>
    </row>
    <row r="9" customFormat="false" ht="15" hidden="false" customHeight="false" outlineLevel="0" collapsed="false">
      <c r="A9" s="3" t="s">
        <v>11</v>
      </c>
      <c r="B9" s="3" t="s">
        <v>27</v>
      </c>
      <c r="C9" s="3" t="s">
        <v>13</v>
      </c>
      <c r="D9" s="4" t="n">
        <v>480</v>
      </c>
      <c r="E9" s="3" t="s">
        <v>28</v>
      </c>
      <c r="F9" s="4" t="n">
        <v>18</v>
      </c>
      <c r="G9" s="4" t="n">
        <v>38</v>
      </c>
      <c r="H9" s="4" t="n">
        <f aca="false">ROUND(F9+(G9-F9)*$L$2,0)</f>
        <v>25</v>
      </c>
      <c r="I9" s="3" t="s">
        <v>15</v>
      </c>
      <c r="J9" s="3" t="s">
        <v>26</v>
      </c>
    </row>
    <row r="10" customFormat="false" ht="15" hidden="false" customHeight="false" outlineLevel="0" collapsed="false">
      <c r="A10" s="3" t="s">
        <v>11</v>
      </c>
      <c r="B10" s="3" t="s">
        <v>29</v>
      </c>
      <c r="C10" s="3" t="s">
        <v>13</v>
      </c>
      <c r="D10" s="4" t="n">
        <v>390</v>
      </c>
      <c r="E10" s="3" t="s">
        <v>28</v>
      </c>
      <c r="F10" s="4" t="n">
        <v>14</v>
      </c>
      <c r="G10" s="4" t="n">
        <v>32</v>
      </c>
      <c r="H10" s="4" t="n">
        <f aca="false">ROUND(F10+(G10-F10)*$L$2,0)</f>
        <v>20</v>
      </c>
      <c r="I10" s="3" t="s">
        <v>30</v>
      </c>
      <c r="J10" s="3" t="s">
        <v>26</v>
      </c>
    </row>
    <row r="11" customFormat="false" ht="15" hidden="false" customHeight="false" outlineLevel="0" collapsed="false">
      <c r="A11" s="3" t="s">
        <v>31</v>
      </c>
      <c r="B11" s="3" t="s">
        <v>32</v>
      </c>
      <c r="C11" s="3" t="s">
        <v>13</v>
      </c>
      <c r="D11" s="4" t="n">
        <v>1300</v>
      </c>
      <c r="E11" s="3" t="s">
        <v>14</v>
      </c>
      <c r="F11" s="4" t="n">
        <v>14</v>
      </c>
      <c r="G11" s="4" t="n">
        <v>32</v>
      </c>
      <c r="H11" s="4" t="n">
        <f aca="false">ROUND(F11+(G11-F11)*$L$2,0)</f>
        <v>20</v>
      </c>
      <c r="I11" s="3" t="s">
        <v>15</v>
      </c>
      <c r="J11" s="3" t="s">
        <v>16</v>
      </c>
    </row>
    <row r="12" customFormat="false" ht="15" hidden="false" customHeight="false" outlineLevel="0" collapsed="false">
      <c r="A12" s="3" t="s">
        <v>31</v>
      </c>
      <c r="B12" s="3" t="s">
        <v>33</v>
      </c>
      <c r="C12" s="3" t="s">
        <v>13</v>
      </c>
      <c r="D12" s="4" t="n">
        <v>880</v>
      </c>
      <c r="E12" s="3" t="s">
        <v>14</v>
      </c>
      <c r="F12" s="4" t="n">
        <v>15</v>
      </c>
      <c r="G12" s="4" t="n">
        <v>34</v>
      </c>
      <c r="H12" s="4" t="n">
        <f aca="false">ROUND(F12+(G12-F12)*$L$2,0)</f>
        <v>22</v>
      </c>
      <c r="I12" s="3" t="s">
        <v>15</v>
      </c>
      <c r="J12" s="3" t="s">
        <v>16</v>
      </c>
    </row>
    <row r="13" customFormat="false" ht="15" hidden="false" customHeight="false" outlineLevel="0" collapsed="false">
      <c r="A13" s="3" t="s">
        <v>31</v>
      </c>
      <c r="B13" s="3" t="s">
        <v>34</v>
      </c>
      <c r="C13" s="3" t="s">
        <v>13</v>
      </c>
      <c r="D13" s="4" t="n">
        <v>720</v>
      </c>
      <c r="E13" s="3" t="s">
        <v>14</v>
      </c>
      <c r="F13" s="4" t="n">
        <v>16</v>
      </c>
      <c r="G13" s="4" t="n">
        <v>36</v>
      </c>
      <c r="H13" s="4" t="n">
        <f aca="false">ROUND(F13+(G13-F13)*$L$2,0)</f>
        <v>23</v>
      </c>
      <c r="I13" s="3" t="s">
        <v>15</v>
      </c>
      <c r="J13" s="3" t="s">
        <v>16</v>
      </c>
    </row>
    <row r="14" customFormat="false" ht="15" hidden="false" customHeight="false" outlineLevel="0" collapsed="false">
      <c r="A14" s="3" t="s">
        <v>31</v>
      </c>
      <c r="B14" s="3" t="s">
        <v>35</v>
      </c>
      <c r="C14" s="3" t="s">
        <v>13</v>
      </c>
      <c r="D14" s="4" t="n">
        <v>590</v>
      </c>
      <c r="E14" s="3" t="s">
        <v>28</v>
      </c>
      <c r="F14" s="4" t="n">
        <v>17</v>
      </c>
      <c r="G14" s="4" t="n">
        <v>38</v>
      </c>
      <c r="H14" s="4" t="n">
        <f aca="false">ROUND(F14+(G14-F14)*$L$2,0)</f>
        <v>24</v>
      </c>
      <c r="I14" s="3" t="s">
        <v>15</v>
      </c>
      <c r="J14" s="3" t="s">
        <v>26</v>
      </c>
    </row>
    <row r="15" customFormat="false" ht="15" hidden="false" customHeight="false" outlineLevel="0" collapsed="false">
      <c r="A15" s="3" t="s">
        <v>31</v>
      </c>
      <c r="B15" s="3" t="s">
        <v>36</v>
      </c>
      <c r="C15" s="3" t="s">
        <v>13</v>
      </c>
      <c r="D15" s="4" t="n">
        <v>260</v>
      </c>
      <c r="E15" s="3" t="s">
        <v>37</v>
      </c>
      <c r="F15" s="4" t="n">
        <v>9</v>
      </c>
      <c r="G15" s="4" t="n">
        <v>22</v>
      </c>
      <c r="H15" s="4" t="n">
        <f aca="false">ROUND(F15+(G15-F15)*$L$2,0)</f>
        <v>14</v>
      </c>
      <c r="I15" s="3" t="s">
        <v>38</v>
      </c>
      <c r="J15" s="3" t="s">
        <v>39</v>
      </c>
    </row>
    <row r="16" customFormat="false" ht="15" hidden="false" customHeight="false" outlineLevel="0" collapsed="false">
      <c r="A16" s="3" t="s">
        <v>31</v>
      </c>
      <c r="B16" s="3" t="s">
        <v>40</v>
      </c>
      <c r="C16" s="3" t="s">
        <v>13</v>
      </c>
      <c r="D16" s="4" t="n">
        <v>210</v>
      </c>
      <c r="E16" s="3" t="s">
        <v>37</v>
      </c>
      <c r="F16" s="4" t="n">
        <v>11</v>
      </c>
      <c r="G16" s="4" t="n">
        <v>24</v>
      </c>
      <c r="H16" s="4" t="n">
        <f aca="false">ROUND(F16+(G16-F16)*$L$2,0)</f>
        <v>16</v>
      </c>
      <c r="I16" s="3" t="s">
        <v>30</v>
      </c>
      <c r="J16" s="3" t="s">
        <v>39</v>
      </c>
    </row>
    <row r="17" customFormat="false" ht="15" hidden="false" customHeight="false" outlineLevel="0" collapsed="false">
      <c r="A17" s="3" t="s">
        <v>41</v>
      </c>
      <c r="B17" s="3" t="s">
        <v>42</v>
      </c>
      <c r="C17" s="3" t="s">
        <v>13</v>
      </c>
      <c r="D17" s="4" t="n">
        <v>1900</v>
      </c>
      <c r="E17" s="3" t="s">
        <v>14</v>
      </c>
      <c r="F17" s="4" t="n">
        <v>16</v>
      </c>
      <c r="G17" s="4" t="n">
        <v>35</v>
      </c>
      <c r="H17" s="4" t="n">
        <f aca="false">ROUND(F17+(G17-F17)*$L$2,0)</f>
        <v>23</v>
      </c>
      <c r="I17" s="3" t="s">
        <v>15</v>
      </c>
      <c r="J17" s="3" t="s">
        <v>16</v>
      </c>
    </row>
    <row r="18" customFormat="false" ht="15" hidden="false" customHeight="false" outlineLevel="0" collapsed="false">
      <c r="A18" s="3" t="s">
        <v>41</v>
      </c>
      <c r="B18" s="3" t="s">
        <v>43</v>
      </c>
      <c r="C18" s="3" t="s">
        <v>13</v>
      </c>
      <c r="D18" s="4" t="n">
        <v>1000</v>
      </c>
      <c r="E18" s="3" t="s">
        <v>14</v>
      </c>
      <c r="F18" s="4" t="n">
        <v>14</v>
      </c>
      <c r="G18" s="4" t="n">
        <v>31</v>
      </c>
      <c r="H18" s="4" t="n">
        <f aca="false">ROUND(F18+(G18-F18)*$L$2,0)</f>
        <v>20</v>
      </c>
      <c r="I18" s="3" t="s">
        <v>15</v>
      </c>
      <c r="J18" s="3" t="s">
        <v>16</v>
      </c>
    </row>
    <row r="19" customFormat="false" ht="15" hidden="false" customHeight="false" outlineLevel="0" collapsed="false">
      <c r="A19" s="3" t="s">
        <v>41</v>
      </c>
      <c r="B19" s="3" t="s">
        <v>44</v>
      </c>
      <c r="C19" s="3" t="s">
        <v>13</v>
      </c>
      <c r="D19" s="4" t="n">
        <v>880</v>
      </c>
      <c r="E19" s="3" t="s">
        <v>28</v>
      </c>
      <c r="F19" s="4" t="n">
        <v>18</v>
      </c>
      <c r="G19" s="4" t="n">
        <v>40</v>
      </c>
      <c r="H19" s="4" t="n">
        <f aca="false">ROUND(F19+(G19-F19)*$L$2,0)</f>
        <v>26</v>
      </c>
      <c r="I19" s="3" t="s">
        <v>15</v>
      </c>
      <c r="J19" s="3" t="s">
        <v>26</v>
      </c>
    </row>
    <row r="20" customFormat="false" ht="15" hidden="false" customHeight="false" outlineLevel="0" collapsed="false">
      <c r="A20" s="3" t="s">
        <v>41</v>
      </c>
      <c r="B20" s="3" t="s">
        <v>45</v>
      </c>
      <c r="C20" s="3" t="s">
        <v>24</v>
      </c>
      <c r="D20" s="4" t="n">
        <v>1900</v>
      </c>
      <c r="E20" s="3" t="s">
        <v>14</v>
      </c>
      <c r="F20" s="4" t="n">
        <v>16</v>
      </c>
      <c r="G20" s="4" t="n">
        <v>35</v>
      </c>
      <c r="H20" s="4" t="n">
        <f aca="false">ROUND(F20+(G20-F20)*$L$2,0)</f>
        <v>23</v>
      </c>
      <c r="I20" s="3" t="s">
        <v>15</v>
      </c>
      <c r="J20" s="3" t="s">
        <v>16</v>
      </c>
    </row>
    <row r="21" customFormat="false" ht="15" hidden="false" customHeight="false" outlineLevel="0" collapsed="false">
      <c r="A21" s="3" t="s">
        <v>41</v>
      </c>
      <c r="B21" s="3" t="s">
        <v>46</v>
      </c>
      <c r="C21" s="3" t="s">
        <v>13</v>
      </c>
      <c r="D21" s="4" t="n">
        <v>480</v>
      </c>
      <c r="E21" s="3" t="s">
        <v>28</v>
      </c>
      <c r="F21" s="4" t="n">
        <v>12</v>
      </c>
      <c r="G21" s="4" t="n">
        <v>28</v>
      </c>
      <c r="H21" s="4" t="n">
        <f aca="false">ROUND(F21+(G21-F21)*$L$2,0)</f>
        <v>18</v>
      </c>
      <c r="I21" s="3" t="s">
        <v>30</v>
      </c>
      <c r="J21" s="3" t="s">
        <v>39</v>
      </c>
    </row>
    <row r="22" customFormat="false" ht="15" hidden="false" customHeight="false" outlineLevel="0" collapsed="false">
      <c r="A22" s="3" t="s">
        <v>41</v>
      </c>
      <c r="B22" s="3" t="s">
        <v>47</v>
      </c>
      <c r="C22" s="3" t="s">
        <v>13</v>
      </c>
      <c r="D22" s="4" t="n">
        <v>320</v>
      </c>
      <c r="E22" s="3" t="s">
        <v>28</v>
      </c>
      <c r="F22" s="4" t="n">
        <v>15</v>
      </c>
      <c r="G22" s="4" t="n">
        <v>33</v>
      </c>
      <c r="H22" s="4" t="n">
        <f aca="false">ROUND(F22+(G22-F22)*$L$2,0)</f>
        <v>21</v>
      </c>
      <c r="I22" s="3" t="s">
        <v>15</v>
      </c>
      <c r="J22" s="3" t="s">
        <v>26</v>
      </c>
    </row>
    <row r="23" customFormat="false" ht="15" hidden="false" customHeight="false" outlineLevel="0" collapsed="false">
      <c r="A23" s="3" t="s">
        <v>48</v>
      </c>
      <c r="B23" s="3" t="s">
        <v>49</v>
      </c>
      <c r="C23" s="3" t="s">
        <v>13</v>
      </c>
      <c r="D23" s="4" t="n">
        <v>590</v>
      </c>
      <c r="E23" s="3" t="s">
        <v>28</v>
      </c>
      <c r="F23" s="4" t="n">
        <v>17</v>
      </c>
      <c r="G23" s="4" t="n">
        <v>38</v>
      </c>
      <c r="H23" s="4" t="n">
        <f aca="false">ROUND(F23+(G23-F23)*$L$2,0)</f>
        <v>24</v>
      </c>
      <c r="I23" s="3" t="s">
        <v>15</v>
      </c>
      <c r="J23" s="3" t="s">
        <v>26</v>
      </c>
    </row>
    <row r="24" customFormat="false" ht="15" hidden="false" customHeight="false" outlineLevel="0" collapsed="false">
      <c r="A24" s="3" t="s">
        <v>48</v>
      </c>
      <c r="B24" s="3" t="s">
        <v>50</v>
      </c>
      <c r="C24" s="3" t="s">
        <v>13</v>
      </c>
      <c r="D24" s="4" t="n">
        <v>390</v>
      </c>
      <c r="E24" s="3" t="s">
        <v>28</v>
      </c>
      <c r="F24" s="4" t="n">
        <v>22</v>
      </c>
      <c r="G24" s="4" t="n">
        <v>48</v>
      </c>
      <c r="H24" s="4" t="n">
        <f aca="false">ROUND(F24+(G24-F24)*$L$2,0)</f>
        <v>31</v>
      </c>
      <c r="I24" s="3" t="s">
        <v>15</v>
      </c>
      <c r="J24" s="3" t="s">
        <v>16</v>
      </c>
    </row>
    <row r="25" customFormat="false" ht="15" hidden="false" customHeight="false" outlineLevel="0" collapsed="false">
      <c r="A25" s="3" t="s">
        <v>48</v>
      </c>
      <c r="B25" s="3" t="s">
        <v>51</v>
      </c>
      <c r="C25" s="3" t="s">
        <v>13</v>
      </c>
      <c r="D25" s="4" t="n">
        <v>210</v>
      </c>
      <c r="E25" s="3" t="s">
        <v>37</v>
      </c>
      <c r="F25" s="4" t="n">
        <v>20</v>
      </c>
      <c r="G25" s="4" t="n">
        <v>44</v>
      </c>
      <c r="H25" s="4" t="n">
        <f aca="false">ROUND(F25+(G25-F25)*$L$2,0)</f>
        <v>28</v>
      </c>
      <c r="I25" s="3" t="s">
        <v>15</v>
      </c>
      <c r="J25" s="3" t="s">
        <v>26</v>
      </c>
    </row>
    <row r="26" customFormat="false" ht="15" hidden="false" customHeight="false" outlineLevel="0" collapsed="false">
      <c r="A26" s="3" t="s">
        <v>48</v>
      </c>
      <c r="B26" s="3" t="s">
        <v>52</v>
      </c>
      <c r="C26" s="3" t="s">
        <v>13</v>
      </c>
      <c r="D26" s="4" t="n">
        <v>140</v>
      </c>
      <c r="E26" s="3" t="s">
        <v>37</v>
      </c>
      <c r="F26" s="4" t="n">
        <v>21</v>
      </c>
      <c r="G26" s="4" t="n">
        <v>46</v>
      </c>
      <c r="H26" s="4" t="n">
        <f aca="false">ROUND(F26+(G26-F26)*$L$2,0)</f>
        <v>30</v>
      </c>
      <c r="I26" s="3" t="s">
        <v>15</v>
      </c>
      <c r="J26" s="3" t="s">
        <v>39</v>
      </c>
    </row>
    <row r="27" customFormat="false" ht="15" hidden="false" customHeight="false" outlineLevel="0" collapsed="false">
      <c r="A27" s="3" t="s">
        <v>48</v>
      </c>
      <c r="B27" s="3" t="s">
        <v>53</v>
      </c>
      <c r="C27" s="3" t="s">
        <v>13</v>
      </c>
      <c r="D27" s="4" t="n">
        <v>170</v>
      </c>
      <c r="E27" s="3" t="s">
        <v>37</v>
      </c>
      <c r="F27" s="4" t="n">
        <v>15</v>
      </c>
      <c r="G27" s="4" t="n">
        <v>34</v>
      </c>
      <c r="H27" s="4" t="n">
        <f aca="false">ROUND(F27+(G27-F27)*$L$2,0)</f>
        <v>22</v>
      </c>
      <c r="I27" s="3" t="s">
        <v>38</v>
      </c>
      <c r="J27" s="3" t="s">
        <v>39</v>
      </c>
    </row>
    <row r="28" customFormat="false" ht="15" hidden="false" customHeight="false" outlineLevel="0" collapsed="false">
      <c r="B28" s="2" t="s">
        <v>54</v>
      </c>
      <c r="D28" s="8" t="n">
        <f aca="false">SUM(D2:D27)</f>
        <v>28330</v>
      </c>
      <c r="H28" s="9" t="n">
        <f aca="false">ROUND(SUMPRODUCT(D2:D27,H2:H27)/D28,2)</f>
        <v>23.91</v>
      </c>
    </row>
  </sheetData>
  <mergeCells count="1">
    <mergeCell ref="L4:P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2"/>
    <col collapsed="false" customWidth="true" hidden="false" outlineLevel="0" max="4" min="4" style="0" width="58"/>
  </cols>
  <sheetData>
    <row r="1" customFormat="false" ht="15" hidden="false" customHeight="false" outlineLevel="0" collapsed="false">
      <c r="A1" s="10" t="s">
        <v>55</v>
      </c>
      <c r="B1" s="10" t="s">
        <v>2</v>
      </c>
      <c r="C1" s="10" t="s">
        <v>56</v>
      </c>
      <c r="D1" s="10" t="s">
        <v>57</v>
      </c>
    </row>
    <row r="2" customFormat="false" ht="15" hidden="false" customHeight="false" outlineLevel="0" collapsed="false">
      <c r="A2" s="3" t="s">
        <v>58</v>
      </c>
      <c r="B2" s="3" t="s">
        <v>59</v>
      </c>
      <c r="C2" s="3" t="s">
        <v>60</v>
      </c>
      <c r="D2" s="3" t="s">
        <v>61</v>
      </c>
    </row>
    <row r="3" customFormat="false" ht="15" hidden="false" customHeight="false" outlineLevel="0" collapsed="false">
      <c r="A3" s="3" t="s">
        <v>62</v>
      </c>
      <c r="B3" s="3" t="s">
        <v>59</v>
      </c>
      <c r="C3" s="3" t="s">
        <v>60</v>
      </c>
      <c r="D3" s="3" t="s">
        <v>63</v>
      </c>
    </row>
    <row r="4" customFormat="false" ht="15" hidden="false" customHeight="false" outlineLevel="0" collapsed="false">
      <c r="A4" s="3" t="s">
        <v>64</v>
      </c>
      <c r="B4" s="3" t="s">
        <v>59</v>
      </c>
      <c r="C4" s="3" t="s">
        <v>60</v>
      </c>
      <c r="D4" s="3" t="s">
        <v>65</v>
      </c>
    </row>
    <row r="5" customFormat="false" ht="15" hidden="false" customHeight="false" outlineLevel="0" collapsed="false">
      <c r="A5" s="3" t="s">
        <v>66</v>
      </c>
      <c r="B5" s="3" t="s">
        <v>59</v>
      </c>
      <c r="C5" s="3" t="s">
        <v>60</v>
      </c>
      <c r="D5" s="3" t="s">
        <v>67</v>
      </c>
    </row>
    <row r="6" customFormat="false" ht="15" hidden="false" customHeight="false" outlineLevel="0" collapsed="false">
      <c r="A6" s="3" t="s">
        <v>68</v>
      </c>
      <c r="B6" s="3" t="s">
        <v>59</v>
      </c>
      <c r="C6" s="3" t="s">
        <v>60</v>
      </c>
      <c r="D6" s="3" t="s">
        <v>67</v>
      </c>
    </row>
    <row r="7" customFormat="false" ht="15" hidden="false" customHeight="false" outlineLevel="0" collapsed="false">
      <c r="A7" s="3" t="s">
        <v>69</v>
      </c>
      <c r="B7" s="3" t="s">
        <v>59</v>
      </c>
      <c r="C7" s="3" t="s">
        <v>60</v>
      </c>
      <c r="D7" s="3" t="s">
        <v>67</v>
      </c>
    </row>
    <row r="8" customFormat="false" ht="15" hidden="false" customHeight="false" outlineLevel="0" collapsed="false">
      <c r="A8" s="3" t="s">
        <v>70</v>
      </c>
      <c r="B8" s="3" t="s">
        <v>59</v>
      </c>
      <c r="C8" s="3" t="s">
        <v>60</v>
      </c>
      <c r="D8" s="3" t="s">
        <v>67</v>
      </c>
    </row>
    <row r="9" customFormat="false" ht="15" hidden="false" customHeight="false" outlineLevel="0" collapsed="false">
      <c r="A9" s="3" t="s">
        <v>71</v>
      </c>
      <c r="B9" s="3" t="s">
        <v>59</v>
      </c>
      <c r="C9" s="3" t="s">
        <v>60</v>
      </c>
      <c r="D9" s="3" t="s">
        <v>72</v>
      </c>
    </row>
    <row r="10" customFormat="false" ht="15" hidden="false" customHeight="false" outlineLevel="0" collapsed="false">
      <c r="A10" s="3" t="s">
        <v>73</v>
      </c>
      <c r="B10" s="3" t="s">
        <v>13</v>
      </c>
      <c r="C10" s="3" t="s">
        <v>60</v>
      </c>
      <c r="D10" s="3" t="s">
        <v>74</v>
      </c>
    </row>
    <row r="11" customFormat="false" ht="15" hidden="false" customHeight="false" outlineLevel="0" collapsed="false">
      <c r="A11" s="3" t="s">
        <v>75</v>
      </c>
      <c r="B11" s="3" t="s">
        <v>59</v>
      </c>
      <c r="C11" s="3" t="s">
        <v>60</v>
      </c>
      <c r="D11" s="3" t="s">
        <v>38</v>
      </c>
    </row>
    <row r="12" customFormat="false" ht="15" hidden="false" customHeight="false" outlineLevel="0" collapsed="false">
      <c r="A12" s="3" t="s">
        <v>76</v>
      </c>
      <c r="B12" s="3" t="s">
        <v>59</v>
      </c>
      <c r="C12" s="3" t="s">
        <v>60</v>
      </c>
      <c r="D12" s="3" t="s">
        <v>77</v>
      </c>
    </row>
    <row r="13" customFormat="false" ht="15" hidden="false" customHeight="false" outlineLevel="0" collapsed="false">
      <c r="A13" s="3" t="s">
        <v>78</v>
      </c>
      <c r="B13" s="3" t="s">
        <v>59</v>
      </c>
      <c r="C13" s="3" t="s">
        <v>60</v>
      </c>
      <c r="D13" s="3" t="s">
        <v>77</v>
      </c>
    </row>
    <row r="14" customFormat="false" ht="15" hidden="false" customHeight="false" outlineLevel="0" collapsed="false">
      <c r="A14" s="3" t="s">
        <v>79</v>
      </c>
      <c r="B14" s="3" t="s">
        <v>59</v>
      </c>
      <c r="C14" s="3" t="s">
        <v>60</v>
      </c>
      <c r="D14" s="3" t="s">
        <v>80</v>
      </c>
    </row>
    <row r="15" customFormat="false" ht="15" hidden="false" customHeight="false" outlineLevel="0" collapsed="false">
      <c r="A15" s="3" t="s">
        <v>81</v>
      </c>
      <c r="B15" s="3" t="s">
        <v>59</v>
      </c>
      <c r="C15" s="3" t="s">
        <v>60</v>
      </c>
      <c r="D15" s="3" t="s">
        <v>82</v>
      </c>
    </row>
    <row r="16" customFormat="false" ht="15" hidden="false" customHeight="false" outlineLevel="0" collapsed="false">
      <c r="A16" s="3" t="s">
        <v>83</v>
      </c>
      <c r="B16" s="3" t="s">
        <v>59</v>
      </c>
      <c r="C16" s="3" t="s">
        <v>60</v>
      </c>
      <c r="D16" s="3" t="s">
        <v>84</v>
      </c>
    </row>
    <row r="17" customFormat="false" ht="15" hidden="false" customHeight="false" outlineLevel="0" collapsed="false">
      <c r="A17" s="3" t="s">
        <v>85</v>
      </c>
      <c r="B17" s="3" t="s">
        <v>59</v>
      </c>
      <c r="C17" s="3" t="s">
        <v>60</v>
      </c>
      <c r="D17" s="3" t="s">
        <v>86</v>
      </c>
    </row>
    <row r="18" customFormat="false" ht="15" hidden="false" customHeight="false" outlineLevel="0" collapsed="false">
      <c r="A18" s="3" t="s">
        <v>87</v>
      </c>
      <c r="B18" s="3" t="s">
        <v>59</v>
      </c>
      <c r="C18" s="3" t="s">
        <v>60</v>
      </c>
      <c r="D18" s="3" t="s">
        <v>86</v>
      </c>
    </row>
    <row r="19" customFormat="false" ht="15" hidden="false" customHeight="false" outlineLevel="0" collapsed="false">
      <c r="A19" s="3" t="s">
        <v>88</v>
      </c>
      <c r="B19" s="3" t="s">
        <v>59</v>
      </c>
      <c r="C19" s="3" t="s">
        <v>60</v>
      </c>
      <c r="D19" s="3" t="s">
        <v>89</v>
      </c>
    </row>
    <row r="20" customFormat="false" ht="15" hidden="false" customHeight="false" outlineLevel="0" collapsed="false">
      <c r="A20" s="3" t="s">
        <v>90</v>
      </c>
      <c r="B20" s="3" t="s">
        <v>59</v>
      </c>
      <c r="C20" s="3" t="s">
        <v>60</v>
      </c>
      <c r="D20" s="3" t="s">
        <v>89</v>
      </c>
    </row>
    <row r="21" customFormat="false" ht="15" hidden="false" customHeight="false" outlineLevel="0" collapsed="false">
      <c r="A21" s="3" t="s">
        <v>91</v>
      </c>
      <c r="B21" s="3" t="s">
        <v>59</v>
      </c>
      <c r="C21" s="3" t="s">
        <v>60</v>
      </c>
      <c r="D21" s="3" t="s">
        <v>92</v>
      </c>
    </row>
    <row r="22" customFormat="false" ht="15" hidden="false" customHeight="false" outlineLevel="0" collapsed="false">
      <c r="A22" s="3" t="s">
        <v>93</v>
      </c>
      <c r="B22" s="3" t="s">
        <v>59</v>
      </c>
      <c r="C22" s="3" t="s">
        <v>60</v>
      </c>
      <c r="D22" s="3" t="s">
        <v>94</v>
      </c>
    </row>
    <row r="23" customFormat="false" ht="15" hidden="false" customHeight="false" outlineLevel="0" collapsed="false">
      <c r="A23" s="3" t="s">
        <v>95</v>
      </c>
      <c r="B23" s="3" t="s">
        <v>59</v>
      </c>
      <c r="C23" s="3" t="s">
        <v>60</v>
      </c>
      <c r="D23" s="3" t="s">
        <v>94</v>
      </c>
    </row>
    <row r="24" customFormat="false" ht="15" hidden="false" customHeight="false" outlineLevel="0" collapsed="false">
      <c r="A24" s="3" t="s">
        <v>96</v>
      </c>
      <c r="B24" s="3" t="s">
        <v>59</v>
      </c>
      <c r="C24" s="3" t="s">
        <v>60</v>
      </c>
      <c r="D24" s="3" t="s">
        <v>94</v>
      </c>
    </row>
    <row r="25" customFormat="false" ht="15" hidden="false" customHeight="false" outlineLevel="0" collapsed="false">
      <c r="A25" s="3" t="s">
        <v>97</v>
      </c>
      <c r="B25" s="3" t="s">
        <v>59</v>
      </c>
      <c r="C25" s="3" t="s">
        <v>60</v>
      </c>
      <c r="D25" s="3" t="s">
        <v>98</v>
      </c>
    </row>
    <row r="26" customFormat="false" ht="15" hidden="false" customHeight="false" outlineLevel="0" collapsed="false">
      <c r="A26" s="3" t="s">
        <v>99</v>
      </c>
      <c r="B26" s="3" t="s">
        <v>59</v>
      </c>
      <c r="C26" s="3" t="s">
        <v>60</v>
      </c>
      <c r="D26" s="3" t="s">
        <v>100</v>
      </c>
    </row>
    <row r="27" customFormat="false" ht="15" hidden="false" customHeight="false" outlineLevel="0" collapsed="false">
      <c r="A27" s="3" t="s">
        <v>101</v>
      </c>
      <c r="B27" s="3" t="s">
        <v>59</v>
      </c>
      <c r="C27" s="3" t="s">
        <v>60</v>
      </c>
      <c r="D27" s="3" t="s">
        <v>100</v>
      </c>
    </row>
    <row r="28" customFormat="false" ht="15" hidden="false" customHeight="false" outlineLevel="0" collapsed="false">
      <c r="A28" s="3" t="s">
        <v>102</v>
      </c>
      <c r="B28" s="3" t="s">
        <v>13</v>
      </c>
      <c r="C28" s="3" t="s">
        <v>60</v>
      </c>
      <c r="D28" s="3" t="s">
        <v>103</v>
      </c>
    </row>
    <row r="29" customFormat="false" ht="15" hidden="false" customHeight="false" outlineLevel="0" collapsed="false">
      <c r="A29" s="3" t="s">
        <v>104</v>
      </c>
      <c r="B29" s="3" t="s">
        <v>13</v>
      </c>
      <c r="C29" s="3" t="s">
        <v>60</v>
      </c>
      <c r="D29" s="3" t="s">
        <v>105</v>
      </c>
    </row>
    <row r="30" customFormat="false" ht="15" hidden="false" customHeight="false" outlineLevel="0" collapsed="false">
      <c r="A30" s="3" t="s">
        <v>106</v>
      </c>
      <c r="B30" s="3" t="s">
        <v>59</v>
      </c>
      <c r="C30" s="3" t="s">
        <v>60</v>
      </c>
      <c r="D30" s="3" t="s">
        <v>107</v>
      </c>
    </row>
    <row r="31" customFormat="false" ht="15" hidden="false" customHeight="false" outlineLevel="0" collapsed="false">
      <c r="A31" s="3" t="s">
        <v>108</v>
      </c>
      <c r="B31" s="3" t="s">
        <v>59</v>
      </c>
      <c r="C31" s="3" t="s">
        <v>60</v>
      </c>
      <c r="D31" s="3" t="s">
        <v>109</v>
      </c>
    </row>
    <row r="32" customFormat="false" ht="15" hidden="false" customHeight="false" outlineLevel="0" collapsed="false">
      <c r="A32" s="3" t="s">
        <v>110</v>
      </c>
      <c r="B32" s="3" t="s">
        <v>59</v>
      </c>
      <c r="C32" s="3" t="s">
        <v>60</v>
      </c>
      <c r="D32" s="3" t="s">
        <v>109</v>
      </c>
    </row>
    <row r="33" customFormat="false" ht="15" hidden="false" customHeight="false" outlineLevel="0" collapsed="false">
      <c r="A33" s="3" t="s">
        <v>111</v>
      </c>
      <c r="B33" s="3" t="s">
        <v>59</v>
      </c>
      <c r="C33" s="3" t="s">
        <v>60</v>
      </c>
      <c r="D33" s="3" t="s">
        <v>109</v>
      </c>
    </row>
    <row r="34" customFormat="false" ht="15" hidden="false" customHeight="false" outlineLevel="0" collapsed="false">
      <c r="A34" s="3" t="s">
        <v>112</v>
      </c>
      <c r="B34" s="3" t="s">
        <v>59</v>
      </c>
      <c r="C34" s="3" t="s">
        <v>60</v>
      </c>
      <c r="D34" s="3" t="s">
        <v>109</v>
      </c>
    </row>
    <row r="35" customFormat="false" ht="15" hidden="false" customHeight="false" outlineLevel="0" collapsed="false">
      <c r="A35" s="3" t="s">
        <v>113</v>
      </c>
      <c r="B35" s="3" t="s">
        <v>13</v>
      </c>
      <c r="C35" s="3" t="s">
        <v>60</v>
      </c>
      <c r="D35" s="3" t="s">
        <v>114</v>
      </c>
    </row>
    <row r="36" customFormat="false" ht="15" hidden="false" customHeight="false" outlineLevel="0" collapsed="false">
      <c r="A36" s="3" t="s">
        <v>115</v>
      </c>
      <c r="B36" s="3" t="s">
        <v>13</v>
      </c>
      <c r="C36" s="3" t="s">
        <v>60</v>
      </c>
      <c r="D36" s="3" t="s">
        <v>67</v>
      </c>
    </row>
    <row r="37" customFormat="false" ht="15" hidden="false" customHeight="false" outlineLevel="0" collapsed="false">
      <c r="A37" s="3" t="s">
        <v>116</v>
      </c>
      <c r="B37" s="3" t="s">
        <v>13</v>
      </c>
      <c r="C37" s="3" t="s">
        <v>117</v>
      </c>
      <c r="D37" s="3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32"/>
    <col collapsed="false" customWidth="true" hidden="false" outlineLevel="0" max="4" min="4" style="0" width="11"/>
    <col collapsed="false" customWidth="true" hidden="false" outlineLevel="0" max="5" min="5" style="0" width="22"/>
    <col collapsed="false" customWidth="true" hidden="false" outlineLevel="0" max="6" min="6" style="0" width="26"/>
    <col collapsed="false" customWidth="true" hidden="false" outlineLevel="0" max="7" min="7" style="0" width="16"/>
  </cols>
  <sheetData>
    <row r="1" customFormat="false" ht="15" hidden="false" customHeight="false" outlineLevel="0" collapsed="false">
      <c r="A1" s="1" t="s">
        <v>60</v>
      </c>
      <c r="B1" s="1" t="s">
        <v>119</v>
      </c>
      <c r="C1" s="1" t="s">
        <v>0</v>
      </c>
      <c r="D1" s="1" t="s">
        <v>120</v>
      </c>
      <c r="E1" s="1" t="s">
        <v>121</v>
      </c>
      <c r="F1" s="1" t="s">
        <v>122</v>
      </c>
      <c r="G1" s="1" t="s">
        <v>123</v>
      </c>
    </row>
    <row r="2" customFormat="false" ht="15" hidden="false" customHeight="false" outlineLevel="0" collapsed="false">
      <c r="A2" s="3" t="s">
        <v>124</v>
      </c>
      <c r="B2" s="3" t="s">
        <v>125</v>
      </c>
      <c r="C2" s="3" t="s">
        <v>11</v>
      </c>
      <c r="D2" s="3" t="n">
        <v>9</v>
      </c>
      <c r="E2" s="3" t="s">
        <v>126</v>
      </c>
      <c r="F2" s="3" t="s">
        <v>127</v>
      </c>
      <c r="G2" s="11" t="n">
        <v>380</v>
      </c>
    </row>
    <row r="3" customFormat="false" ht="15" hidden="false" customHeight="false" outlineLevel="0" collapsed="false">
      <c r="A3" s="3" t="s">
        <v>124</v>
      </c>
      <c r="B3" s="3" t="s">
        <v>125</v>
      </c>
      <c r="C3" s="3" t="s">
        <v>31</v>
      </c>
      <c r="D3" s="3" t="n">
        <v>6</v>
      </c>
      <c r="E3" s="3" t="s">
        <v>126</v>
      </c>
      <c r="F3" s="3" t="s">
        <v>127</v>
      </c>
      <c r="G3" s="11" t="n">
        <v>180</v>
      </c>
    </row>
    <row r="4" customFormat="false" ht="15" hidden="false" customHeight="false" outlineLevel="0" collapsed="false">
      <c r="A4" s="3" t="s">
        <v>124</v>
      </c>
      <c r="B4" s="3" t="s">
        <v>125</v>
      </c>
      <c r="C4" s="3" t="s">
        <v>41</v>
      </c>
      <c r="D4" s="3" t="n">
        <v>6</v>
      </c>
      <c r="E4" s="3" t="s">
        <v>126</v>
      </c>
      <c r="F4" s="3" t="s">
        <v>127</v>
      </c>
      <c r="G4" s="11" t="n">
        <v>180</v>
      </c>
    </row>
    <row r="5" customFormat="false" ht="15" hidden="false" customHeight="false" outlineLevel="0" collapsed="false">
      <c r="A5" s="3" t="s">
        <v>124</v>
      </c>
      <c r="B5" s="3" t="s">
        <v>125</v>
      </c>
      <c r="C5" s="3" t="s">
        <v>48</v>
      </c>
      <c r="D5" s="3" t="n">
        <v>5</v>
      </c>
      <c r="E5" s="3" t="s">
        <v>126</v>
      </c>
      <c r="F5" s="3" t="s">
        <v>127</v>
      </c>
      <c r="G5" s="11" t="n">
        <v>60</v>
      </c>
    </row>
    <row r="6" customFormat="false" ht="15" hidden="false" customHeight="false" outlineLevel="0" collapsed="false">
      <c r="A6" s="3" t="s">
        <v>128</v>
      </c>
      <c r="B6" s="3" t="s">
        <v>129</v>
      </c>
      <c r="C6" s="3" t="s">
        <v>130</v>
      </c>
      <c r="D6" s="3" t="n">
        <v>0</v>
      </c>
      <c r="E6" s="3" t="s">
        <v>126</v>
      </c>
      <c r="F6" s="3" t="s">
        <v>131</v>
      </c>
      <c r="G6" s="11" t="n">
        <v>200</v>
      </c>
    </row>
    <row r="7" customFormat="false" ht="15" hidden="false" customHeight="false" outlineLevel="0" collapsed="false">
      <c r="F7" s="2" t="s">
        <v>132</v>
      </c>
      <c r="G7" s="12" t="n">
        <f aca="false">SUM(G2:G6)</f>
        <v>1000</v>
      </c>
    </row>
    <row r="8" customFormat="false" ht="15" hidden="false" customHeight="false" outlineLevel="0" collapsed="false">
      <c r="F8" s="2" t="s">
        <v>133</v>
      </c>
      <c r="G8" s="12" t="n">
        <f aca="false">G7*30.4</f>
        <v>30400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7"/>
    <col collapsed="false" customWidth="true" hidden="false" outlineLevel="0" max="5" min="3" style="0" width="16"/>
  </cols>
  <sheetData>
    <row r="1" customFormat="false" ht="16.15" hidden="false" customHeight="false" outlineLevel="0" collapsed="false">
      <c r="A1" s="13" t="s">
        <v>134</v>
      </c>
    </row>
    <row r="2" customFormat="false" ht="15" hidden="false" customHeight="true" outlineLevel="0" collapsed="false">
      <c r="A2" s="7" t="s">
        <v>135</v>
      </c>
      <c r="B2" s="7"/>
      <c r="C2" s="7"/>
      <c r="D2" s="7"/>
      <c r="E2" s="7"/>
    </row>
    <row r="3" customFormat="false" ht="15" hidden="false" customHeight="false" outlineLevel="0" collapsed="false">
      <c r="A3" s="7"/>
      <c r="B3" s="7"/>
      <c r="C3" s="7"/>
      <c r="D3" s="7"/>
      <c r="E3" s="7"/>
    </row>
    <row r="4" customFormat="false" ht="15" hidden="false" customHeight="false" outlineLevel="0" collapsed="false">
      <c r="A4" s="7"/>
      <c r="B4" s="7"/>
      <c r="C4" s="7"/>
      <c r="D4" s="7"/>
      <c r="E4" s="7"/>
    </row>
    <row r="6" customFormat="false" ht="15" hidden="false" customHeight="false" outlineLevel="0" collapsed="false">
      <c r="A6" s="14" t="s">
        <v>136</v>
      </c>
      <c r="B6" s="15"/>
      <c r="C6" s="15"/>
      <c r="D6" s="15"/>
      <c r="E6" s="15"/>
    </row>
    <row r="7" customFormat="false" ht="15" hidden="false" customHeight="false" outlineLevel="0" collapsed="false">
      <c r="A7" s="16" t="s">
        <v>137</v>
      </c>
      <c r="B7" s="17" t="n">
        <v>30000</v>
      </c>
    </row>
    <row r="8" customFormat="false" ht="15" hidden="false" customHeight="false" outlineLevel="0" collapsed="false">
      <c r="A8" s="16" t="s">
        <v>138</v>
      </c>
      <c r="B8" s="18" t="n">
        <v>0.8</v>
      </c>
    </row>
    <row r="9" customFormat="false" ht="15" hidden="false" customHeight="false" outlineLevel="0" collapsed="false">
      <c r="A9" s="16" t="s">
        <v>139</v>
      </c>
      <c r="B9" s="19" t="n">
        <v>22</v>
      </c>
    </row>
    <row r="10" customFormat="false" ht="15" hidden="false" customHeight="false" outlineLevel="0" collapsed="false">
      <c r="A10" s="16" t="s">
        <v>140</v>
      </c>
      <c r="B10" s="20" t="n">
        <v>0.06</v>
      </c>
    </row>
    <row r="11" customFormat="false" ht="15" hidden="false" customHeight="false" outlineLevel="0" collapsed="false">
      <c r="A11" s="16" t="s">
        <v>141</v>
      </c>
      <c r="B11" s="20" t="n">
        <v>0.1</v>
      </c>
    </row>
    <row r="12" customFormat="false" ht="15" hidden="false" customHeight="false" outlineLevel="0" collapsed="false">
      <c r="A12" s="16" t="s">
        <v>142</v>
      </c>
      <c r="B12" s="19" t="n">
        <v>6</v>
      </c>
    </row>
    <row r="13" customFormat="false" ht="15" hidden="false" customHeight="false" outlineLevel="0" collapsed="false">
      <c r="A13" s="16" t="s">
        <v>143</v>
      </c>
      <c r="B13" s="21" t="n">
        <v>0.005</v>
      </c>
    </row>
    <row r="14" customFormat="false" ht="15" hidden="false" customHeight="false" outlineLevel="0" collapsed="false">
      <c r="A14" s="16" t="s">
        <v>144</v>
      </c>
      <c r="B14" s="20" t="n">
        <v>0.02</v>
      </c>
    </row>
    <row r="15" customFormat="false" ht="15" hidden="false" customHeight="false" outlineLevel="0" collapsed="false">
      <c r="A15" s="16" t="s">
        <v>145</v>
      </c>
      <c r="B15" s="18" t="n">
        <v>0.35</v>
      </c>
    </row>
    <row r="16" customFormat="false" ht="15" hidden="false" customHeight="false" outlineLevel="0" collapsed="false">
      <c r="A16" s="16" t="s">
        <v>146</v>
      </c>
      <c r="B16" s="17" t="n">
        <v>3500</v>
      </c>
    </row>
    <row r="18" customFormat="false" ht="15" hidden="false" customHeight="false" outlineLevel="0" collapsed="false">
      <c r="A18" s="14" t="s">
        <v>147</v>
      </c>
      <c r="B18" s="15"/>
      <c r="C18" s="15"/>
      <c r="D18" s="15"/>
      <c r="E18" s="15"/>
    </row>
    <row r="19" customFormat="false" ht="15" hidden="false" customHeight="false" outlineLevel="0" collapsed="false">
      <c r="A19" s="16" t="s">
        <v>148</v>
      </c>
      <c r="B19" s="11" t="n">
        <f aca="false">B7*B8</f>
        <v>24000</v>
      </c>
    </row>
    <row r="20" customFormat="false" ht="15" hidden="false" customHeight="false" outlineLevel="0" collapsed="false">
      <c r="A20" s="16" t="s">
        <v>149</v>
      </c>
      <c r="B20" s="4" t="n">
        <f aca="false">ROUND(B19/B9,0)</f>
        <v>1091</v>
      </c>
    </row>
    <row r="21" customFormat="false" ht="15" hidden="false" customHeight="false" outlineLevel="0" collapsed="false">
      <c r="A21" s="16" t="s">
        <v>150</v>
      </c>
      <c r="B21" s="4" t="n">
        <f aca="false">ROUND(B20/B10,0)</f>
        <v>18183</v>
      </c>
    </row>
    <row r="22" customFormat="false" ht="15" hidden="false" customHeight="false" outlineLevel="0" collapsed="false">
      <c r="A22" s="16" t="s">
        <v>151</v>
      </c>
      <c r="B22" s="4" t="n">
        <f aca="false">ROUND(B20*B11,0)</f>
        <v>109</v>
      </c>
    </row>
    <row r="23" customFormat="false" ht="15" hidden="false" customHeight="false" outlineLevel="0" collapsed="false">
      <c r="A23" s="16" t="s">
        <v>152</v>
      </c>
      <c r="B23" s="11" t="n">
        <f aca="false">ROUND(B19/B22,0)</f>
        <v>220</v>
      </c>
    </row>
    <row r="25" customFormat="false" ht="15" hidden="false" customHeight="false" outlineLevel="0" collapsed="false">
      <c r="A25" s="14" t="s">
        <v>153</v>
      </c>
      <c r="B25" s="15"/>
      <c r="C25" s="15"/>
      <c r="D25" s="15"/>
      <c r="E25" s="15"/>
    </row>
    <row r="26" customFormat="false" ht="15" hidden="false" customHeight="false" outlineLevel="0" collapsed="false">
      <c r="A26" s="16" t="s">
        <v>148</v>
      </c>
      <c r="B26" s="11" t="n">
        <f aca="false">B7*(1-B8)</f>
        <v>6000</v>
      </c>
    </row>
    <row r="27" customFormat="false" ht="15" hidden="false" customHeight="false" outlineLevel="0" collapsed="false">
      <c r="A27" s="16" t="s">
        <v>149</v>
      </c>
      <c r="B27" s="4" t="n">
        <f aca="false">ROUND(B26/B12,0)</f>
        <v>1000</v>
      </c>
    </row>
    <row r="28" customFormat="false" ht="15" hidden="false" customHeight="false" outlineLevel="0" collapsed="false">
      <c r="A28" s="16" t="s">
        <v>150</v>
      </c>
      <c r="B28" s="4" t="n">
        <f aca="false">ROUND(B27/B13,0)</f>
        <v>200000</v>
      </c>
    </row>
    <row r="29" customFormat="false" ht="15" hidden="false" customHeight="false" outlineLevel="0" collapsed="false">
      <c r="A29" s="16" t="s">
        <v>151</v>
      </c>
      <c r="B29" s="4" t="n">
        <f aca="false">ROUND(B27*B14,0)</f>
        <v>20</v>
      </c>
    </row>
    <row r="30" customFormat="false" ht="15" hidden="false" customHeight="false" outlineLevel="0" collapsed="false">
      <c r="A30" s="16" t="s">
        <v>152</v>
      </c>
      <c r="B30" s="11" t="n">
        <f aca="false">ROUND(B26/B29,0)</f>
        <v>300</v>
      </c>
    </row>
    <row r="32" customFormat="false" ht="15" hidden="false" customHeight="false" outlineLevel="0" collapsed="false">
      <c r="A32" s="14" t="s">
        <v>154</v>
      </c>
      <c r="B32" s="15"/>
      <c r="C32" s="15"/>
      <c r="D32" s="15"/>
      <c r="E32" s="15"/>
    </row>
    <row r="33" customFormat="false" ht="15" hidden="false" customHeight="false" outlineLevel="0" collapsed="false">
      <c r="A33" s="2" t="s">
        <v>155</v>
      </c>
      <c r="B33" s="22" t="n">
        <f aca="false">B22+B29</f>
        <v>129</v>
      </c>
    </row>
    <row r="34" customFormat="false" ht="15" hidden="false" customHeight="false" outlineLevel="0" collapsed="false">
      <c r="A34" s="2" t="s">
        <v>156</v>
      </c>
      <c r="B34" s="23" t="n">
        <f aca="false">ROUND(B7/B33,0)</f>
        <v>233</v>
      </c>
    </row>
    <row r="35" customFormat="false" ht="15" hidden="false" customHeight="false" outlineLevel="0" collapsed="false">
      <c r="A35" s="2" t="s">
        <v>157</v>
      </c>
      <c r="B35" s="22" t="n">
        <f aca="false">ROUND(B33*B15,0)</f>
        <v>45</v>
      </c>
    </row>
    <row r="36" customFormat="false" ht="15" hidden="false" customHeight="false" outlineLevel="0" collapsed="false">
      <c r="A36" s="2" t="s">
        <v>158</v>
      </c>
      <c r="B36" s="23" t="n">
        <f aca="false">ROUND(B7/B35,0)</f>
        <v>667</v>
      </c>
    </row>
    <row r="37" customFormat="false" ht="15" hidden="false" customHeight="false" outlineLevel="0" collapsed="false">
      <c r="A37" s="2" t="s">
        <v>159</v>
      </c>
      <c r="B37" s="23" t="n">
        <f aca="false">B35*B16</f>
        <v>157500</v>
      </c>
    </row>
    <row r="38" customFormat="false" ht="15" hidden="false" customHeight="false" outlineLevel="0" collapsed="false">
      <c r="A38" s="2" t="s">
        <v>160</v>
      </c>
      <c r="B38" s="24" t="n">
        <f aca="false">ROUND(B37/B7,2)</f>
        <v>5.25</v>
      </c>
    </row>
    <row r="39" customFormat="false" ht="15" hidden="false" customHeight="false" outlineLevel="0" collapsed="false">
      <c r="A39" s="2" t="s">
        <v>161</v>
      </c>
      <c r="B39" s="23" t="n">
        <f aca="false">B37-B7</f>
        <v>127500</v>
      </c>
    </row>
    <row r="41" customFormat="false" ht="15" hidden="false" customHeight="true" outlineLevel="0" collapsed="false">
      <c r="A41" s="7" t="s">
        <v>162</v>
      </c>
      <c r="B41" s="7"/>
      <c r="C41" s="7"/>
      <c r="D41" s="7"/>
      <c r="E41" s="7"/>
    </row>
    <row r="42" customFormat="false" ht="15" hidden="false" customHeight="false" outlineLevel="0" collapsed="false">
      <c r="A42" s="7"/>
      <c r="B42" s="7"/>
      <c r="C42" s="7"/>
      <c r="D42" s="7"/>
      <c r="E42" s="7"/>
    </row>
    <row r="43" customFormat="false" ht="15" hidden="false" customHeight="false" outlineLevel="0" collapsed="false">
      <c r="A43" s="7"/>
      <c r="B43" s="7"/>
      <c r="C43" s="7"/>
      <c r="D43" s="7"/>
      <c r="E43" s="7"/>
    </row>
    <row r="44" customFormat="false" ht="15" hidden="false" customHeight="false" outlineLevel="0" collapsed="false">
      <c r="A44" s="7"/>
      <c r="B44" s="7"/>
      <c r="C44" s="7"/>
      <c r="D44" s="7"/>
      <c r="E44" s="7"/>
    </row>
  </sheetData>
  <mergeCells count="2">
    <mergeCell ref="A2:E4"/>
    <mergeCell ref="A41:E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2026-09-06T06:13:09Z</dcterms:created>
  <dc:creator>openpyxl</dc:creator>
  <dc:description/>
  <dc:language>en-US</dc:language>
  <cp:lastModifiedBy/>
  <dcterms:modified xsi:type="dcterms:W3CDTF">2026-09-06T06:13:09Z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